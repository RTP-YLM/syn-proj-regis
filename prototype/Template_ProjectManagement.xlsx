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Paytry\Downloads\"/>
    </mc:Choice>
  </mc:AlternateContent>
  <xr:revisionPtr revIDLastSave="0" documentId="8_{01024F16-DA6E-43F0-9675-51BF0DAF68BC}" xr6:coauthVersionLast="47" xr6:coauthVersionMax="47" xr10:uidLastSave="{00000000-0000-0000-0000-000000000000}"/>
  <bookViews>
    <workbookView xWindow="28680" yWindow="-120" windowWidth="29040" windowHeight="15720" xr2:uid="{8F586E71-ED00-4DFD-9404-CDE46556E47E}"/>
  </bookViews>
  <sheets>
    <sheet name="หลายรายการ" sheetId="1" r:id="rId1"/>
  </sheets>
  <externalReferences>
    <externalReference r:id="rId2"/>
    <externalReference r:id="rId3"/>
  </externalReferences>
  <definedNames>
    <definedName name="Poster">'[1]Catalog (New)'!#REF!</definedName>
    <definedName name="สวทช">'[2]Main 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9" i="1" s="1"/>
  <c r="F11" i="1"/>
  <c r="L10" i="1"/>
  <c r="N10" i="1" s="1"/>
  <c r="G10" i="1"/>
  <c r="K9" i="1"/>
  <c r="L9" i="1" s="1"/>
  <c r="H9" i="1"/>
  <c r="F9" i="1"/>
  <c r="E9" i="1"/>
  <c r="E4" i="1" s="1"/>
  <c r="E3" i="1" s="1"/>
  <c r="D9" i="1"/>
  <c r="C9" i="1"/>
  <c r="G8" i="1"/>
  <c r="F7" i="1"/>
  <c r="G7" i="1" s="1"/>
  <c r="L6" i="1"/>
  <c r="I6" i="1"/>
  <c r="I5" i="1" s="1"/>
  <c r="G6" i="1"/>
  <c r="G5" i="1" s="1"/>
  <c r="G4" i="1" s="1"/>
  <c r="L5" i="1"/>
  <c r="K5" i="1"/>
  <c r="J5" i="1"/>
  <c r="H5" i="1"/>
  <c r="F5" i="1"/>
  <c r="D5" i="1"/>
  <c r="C5" i="1"/>
  <c r="L4" i="1" l="1"/>
  <c r="N5" i="1"/>
  <c r="O10" i="1"/>
  <c r="M10" i="1"/>
  <c r="G3" i="1"/>
  <c r="F3" i="1" s="1"/>
  <c r="F4" i="1"/>
  <c r="N6" i="1"/>
  <c r="J11" i="1"/>
  <c r="J9" i="1" s="1"/>
  <c r="J4" i="1" s="1"/>
  <c r="I10" i="1"/>
  <c r="I9" i="1" s="1"/>
  <c r="I4" i="1" l="1"/>
  <c r="J3" i="1"/>
  <c r="I3" i="1" s="1"/>
  <c r="O5" i="1"/>
  <c r="M5" i="1"/>
  <c r="O6" i="1"/>
  <c r="M6" i="1"/>
  <c r="K4" i="1"/>
  <c r="N4" i="1"/>
  <c r="L3" i="1"/>
  <c r="N9" i="1"/>
  <c r="O4" i="1" l="1"/>
  <c r="M4" i="1"/>
  <c r="N3" i="1"/>
  <c r="O3" i="1" s="1"/>
  <c r="K3" i="1"/>
  <c r="M3" i="1" s="1"/>
  <c r="M9" i="1"/>
  <c r="O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Benjarat</author>
  </authors>
  <commentList>
    <comment ref="C5" authorId="0" shapeId="0" xr:uid="{F95ECB43-2C88-4A56-931A-BEA946BFB172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D5" authorId="0" shapeId="0" xr:uid="{8A92C10B-4154-4B37-BB9E-60F268340720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F5" authorId="0" shapeId="0" xr:uid="{A97C27C6-72C0-4AE4-923A-778DC47D9870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ให้ใส่เสนอว่าราคา ณ วันที่เท่าไร</t>
        </r>
      </text>
    </comment>
    <comment ref="H5" authorId="0" shapeId="0" xr:uid="{2038BC1A-D494-4F11-AB26-561E0246C7B7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B6" authorId="0" shapeId="0" xr:uid="{51AB47E8-90E8-47A6-A5C8-67EEDF6A1326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ใส่ Revision Name </t>
        </r>
      </text>
    </comment>
    <comment ref="J6" authorId="0" shapeId="0" xr:uid="{C2608AAE-6515-472E-9BB2-2CB3CA47E1EE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ราคาต้องได้จากจัดส่งเท่านั้น
เมื่อได้ราคามาแล้ว ให้เอามาใส่ พร้อมลงวันที่ ที่ได้ราคามา</t>
        </r>
      </text>
    </comment>
    <comment ref="B7" authorId="0" shapeId="0" xr:uid="{5819892E-96FB-486F-9044-CF73CA75F5AA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ขนาดแบต @ จำนวน  x  ราคา</t>
        </r>
      </text>
    </comment>
    <comment ref="C9" authorId="0" shapeId="0" xr:uid="{5FFF21B2-7585-4432-A56F-28243C12BF6A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D9" authorId="0" shapeId="0" xr:uid="{22124888-3135-4480-B1D4-7013FF59BB35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H9" authorId="0" shapeId="0" xr:uid="{3BF5151C-F4B5-4F14-A93F-84B3DDAA2A23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ใช้สูตรนับจำนวน
</t>
        </r>
      </text>
    </comment>
    <comment ref="B10" authorId="0" shapeId="0" xr:uid="{C08BB3D4-EB4B-4806-A404-001D9790C54E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ใส่ Revision Name </t>
        </r>
      </text>
    </comment>
    <comment ref="J10" authorId="0" shapeId="0" xr:uid="{F1896186-AF94-46AF-8483-1207E432E453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ราคาต้องได้จากจัดส่งเท่านั้น
เมื่อได้ราคามาแล้ว ให้เอามาใส่ พร้อมลงวันที่ ที่ได้ราคามา</t>
        </r>
      </text>
    </comment>
    <comment ref="B11" authorId="0" shapeId="0" xr:uid="{E2E78D51-617C-4342-8628-5B2E51B957F3}">
      <text>
        <r>
          <rPr>
            <b/>
            <sz val="9"/>
            <color indexed="81"/>
            <rFont val="Tahoma"/>
            <family val="2"/>
          </rPr>
          <t>Benjarat:</t>
        </r>
        <r>
          <rPr>
            <sz val="9"/>
            <color indexed="81"/>
            <rFont val="Tahoma"/>
            <family val="2"/>
          </rPr>
          <t xml:space="preserve">
ขนาดแบต @ จำนวน  x  ราคา</t>
        </r>
      </text>
    </comment>
  </commentList>
</comments>
</file>

<file path=xl/sharedStrings.xml><?xml version="1.0" encoding="utf-8"?>
<sst xmlns="http://schemas.openxmlformats.org/spreadsheetml/2006/main" count="51" uniqueCount="32">
  <si>
    <t>ชื่อหน่วยงาน By ชื่อเซลล์</t>
  </si>
  <si>
    <t>ต้นทุน</t>
  </si>
  <si>
    <t>EP</t>
  </si>
  <si>
    <t>ราคาขาย</t>
  </si>
  <si>
    <t>GP</t>
  </si>
  <si>
    <t>Bid Result</t>
  </si>
  <si>
    <t>ลำดับ</t>
  </si>
  <si>
    <t>รายการ</t>
  </si>
  <si>
    <t>Sale</t>
  </si>
  <si>
    <t>Dealer</t>
  </si>
  <si>
    <t>Q'ty</t>
  </si>
  <si>
    <t>@</t>
  </si>
  <si>
    <t>Amt.</t>
  </si>
  <si>
    <t>%</t>
  </si>
  <si>
    <t>ราคาขายคู่แข่ง</t>
  </si>
  <si>
    <t>Brand</t>
  </si>
  <si>
    <t>Model</t>
  </si>
  <si>
    <t>รุ่น</t>
  </si>
  <si>
    <t>ปี ?? : ชื่องาน/ชื่อโครงการ : ? Ys</t>
  </si>
  <si>
    <t>ชื่อเซลล์</t>
  </si>
  <si>
    <t>ชื่อ Dealer</t>
  </si>
  <si>
    <t>รายการ/สเปก</t>
  </si>
  <si>
    <t>TE-1K-G3-1/9-1/2B7</t>
  </si>
  <si>
    <t>Syndome</t>
  </si>
  <si>
    <t>TE-1K</t>
  </si>
  <si>
    <t>ค่าขนส่ง</t>
  </si>
  <si>
    <t>Batt 7 Ah@ 2 x 294.893</t>
  </si>
  <si>
    <t>First</t>
  </si>
  <si>
    <t>VT1207HR</t>
  </si>
  <si>
    <t>SNMP</t>
  </si>
  <si>
    <t>OC</t>
  </si>
  <si>
    <t>กรณีมี OC แถวช่องขาวคิดGP ไม่รวม OC / ช่องสีเทา คิดรวม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</si>
</sst>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0;[Red]#,##0.00"/>
    <numFmt numFmtId="188" formatCode="#,##0;[Red]#,##0"/>
    <numFmt numFmtId="189" formatCode="_(* #,##0.00_);_(* \(#,##0.00\);_(* &quot;-&quot;??_);_(@_)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Angsana New"/>
      <family val="1"/>
    </font>
    <font>
      <u/>
      <sz val="11"/>
      <color theme="10"/>
      <name val="Tahoma"/>
      <family val="2"/>
      <charset val="222"/>
    </font>
    <font>
      <sz val="14"/>
      <color theme="0"/>
      <name val="Angsana New"/>
      <family val="1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4"/>
      <color theme="1"/>
      <name val="Angsana New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1" fillId="0" borderId="0"/>
  </cellStyleXfs>
  <cellXfs count="62">
    <xf numFmtId="0" fontId="0" fillId="0" borderId="0" xfId="0"/>
    <xf numFmtId="43" fontId="2" fillId="0" borderId="0" xfId="3" applyFont="1" applyFill="1" applyBorder="1" applyAlignment="1">
      <alignment vertical="center"/>
    </xf>
    <xf numFmtId="0" fontId="2" fillId="0" borderId="0" xfId="4" applyFont="1" applyAlignment="1">
      <alignment vertical="center"/>
    </xf>
    <xf numFmtId="43" fontId="2" fillId="0" borderId="0" xfId="3" applyFont="1" applyAlignment="1">
      <alignment vertical="center"/>
    </xf>
    <xf numFmtId="187" fontId="4" fillId="2" borderId="1" xfId="2" applyNumberFormat="1" applyFont="1" applyFill="1" applyBorder="1" applyAlignment="1" applyProtection="1">
      <alignment horizontal="center" vertical="center"/>
    </xf>
    <xf numFmtId="187" fontId="4" fillId="2" borderId="2" xfId="2" applyNumberFormat="1" applyFont="1" applyFill="1" applyBorder="1" applyAlignment="1" applyProtection="1">
      <alignment horizontal="center" vertical="center"/>
    </xf>
    <xf numFmtId="188" fontId="4" fillId="2" borderId="1" xfId="5" applyNumberFormat="1" applyFont="1" applyFill="1" applyBorder="1" applyAlignment="1">
      <alignment horizontal="center" vertical="center"/>
    </xf>
    <xf numFmtId="188" fontId="4" fillId="2" borderId="3" xfId="5" applyNumberFormat="1" applyFont="1" applyFill="1" applyBorder="1" applyAlignment="1">
      <alignment horizontal="center" vertical="center"/>
    </xf>
    <xf numFmtId="188" fontId="4" fillId="2" borderId="2" xfId="5" applyNumberFormat="1" applyFont="1" applyFill="1" applyBorder="1" applyAlignment="1">
      <alignment horizontal="center" vertical="center"/>
    </xf>
    <xf numFmtId="0" fontId="4" fillId="2" borderId="1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4" xfId="6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</xf>
    <xf numFmtId="187" fontId="4" fillId="2" borderId="4" xfId="2" applyNumberFormat="1" applyFont="1" applyFill="1" applyBorder="1" applyAlignment="1" applyProtection="1">
      <alignment horizontal="center" vertical="center"/>
    </xf>
    <xf numFmtId="187" fontId="4" fillId="2" borderId="4" xfId="5" applyNumberFormat="1" applyFont="1" applyFill="1" applyBorder="1" applyAlignment="1">
      <alignment horizontal="center" vertical="center"/>
    </xf>
    <xf numFmtId="43" fontId="4" fillId="2" borderId="4" xfId="3" applyFont="1" applyFill="1" applyBorder="1" applyAlignment="1">
      <alignment horizontal="center" vertical="center"/>
    </xf>
    <xf numFmtId="188" fontId="4" fillId="2" borderId="4" xfId="5" applyNumberFormat="1" applyFont="1" applyFill="1" applyBorder="1" applyAlignment="1">
      <alignment horizontal="center" vertical="center"/>
    </xf>
    <xf numFmtId="188" fontId="4" fillId="2" borderId="5" xfId="5" applyNumberFormat="1" applyFont="1" applyFill="1" applyBorder="1" applyAlignment="1">
      <alignment horizontal="center" vertical="center"/>
    </xf>
    <xf numFmtId="187" fontId="4" fillId="2" borderId="5" xfId="5" applyNumberFormat="1" applyFont="1" applyFill="1" applyBorder="1" applyAlignment="1">
      <alignment horizontal="center" vertical="center"/>
    </xf>
    <xf numFmtId="187" fontId="4" fillId="2" borderId="1" xfId="7" applyNumberFormat="1" applyFont="1" applyFill="1" applyBorder="1" applyAlignment="1">
      <alignment horizontal="center" vertical="center"/>
    </xf>
    <xf numFmtId="187" fontId="4" fillId="2" borderId="3" xfId="7" applyNumberFormat="1" applyFont="1" applyFill="1" applyBorder="1" applyAlignment="1">
      <alignment horizontal="center" vertical="center"/>
    </xf>
    <xf numFmtId="187" fontId="4" fillId="2" borderId="2" xfId="7" applyNumberFormat="1" applyFont="1" applyFill="1" applyBorder="1" applyAlignment="1">
      <alignment horizontal="center" vertical="center"/>
    </xf>
    <xf numFmtId="188" fontId="4" fillId="2" borderId="4" xfId="2" applyNumberFormat="1" applyFont="1" applyFill="1" applyBorder="1" applyAlignment="1" applyProtection="1">
      <alignment horizontal="center" vertical="center"/>
    </xf>
    <xf numFmtId="4" fontId="4" fillId="2" borderId="6" xfId="1" applyNumberFormat="1" applyFont="1" applyFill="1" applyBorder="1" applyAlignment="1" applyProtection="1">
      <alignment horizontal="right" vertical="center"/>
    </xf>
    <xf numFmtId="43" fontId="4" fillId="2" borderId="5" xfId="3" applyFont="1" applyFill="1" applyBorder="1" applyAlignment="1">
      <alignment horizontal="center" vertical="center"/>
    </xf>
    <xf numFmtId="4" fontId="4" fillId="2" borderId="5" xfId="1" applyNumberFormat="1" applyFont="1" applyFill="1" applyBorder="1" applyAlignment="1" applyProtection="1">
      <alignment horizontal="right" vertical="center"/>
    </xf>
    <xf numFmtId="4" fontId="4" fillId="2" borderId="5" xfId="2" applyNumberFormat="1" applyFont="1" applyFill="1" applyBorder="1" applyAlignment="1" applyProtection="1">
      <alignment horizontal="right" vertical="center"/>
    </xf>
    <xf numFmtId="0" fontId="4" fillId="2" borderId="4" xfId="6" applyFont="1" applyFill="1" applyBorder="1" applyAlignment="1">
      <alignment horizontal="center" vertical="center"/>
    </xf>
    <xf numFmtId="187" fontId="4" fillId="2" borderId="4" xfId="6" applyNumberFormat="1" applyFont="1" applyFill="1" applyBorder="1" applyAlignment="1">
      <alignment horizontal="center" vertical="center"/>
    </xf>
    <xf numFmtId="0" fontId="2" fillId="3" borderId="7" xfId="5" applyFont="1" applyFill="1" applyBorder="1" applyAlignment="1">
      <alignment horizontal="left" vertical="center"/>
    </xf>
    <xf numFmtId="0" fontId="2" fillId="3" borderId="8" xfId="5" applyFont="1" applyFill="1" applyBorder="1" applyAlignment="1">
      <alignment horizontal="left" vertical="center"/>
    </xf>
    <xf numFmtId="0" fontId="2" fillId="3" borderId="9" xfId="5" applyFont="1" applyFill="1" applyBorder="1" applyAlignment="1">
      <alignment horizontal="center" vertical="center"/>
    </xf>
    <xf numFmtId="188" fontId="2" fillId="3" borderId="9" xfId="2" applyNumberFormat="1" applyFont="1" applyFill="1" applyBorder="1" applyAlignment="1" applyProtection="1">
      <alignment horizontal="center" vertical="center"/>
    </xf>
    <xf numFmtId="187" fontId="2" fillId="3" borderId="9" xfId="2" applyNumberFormat="1" applyFont="1" applyFill="1" applyBorder="1" applyAlignment="1" applyProtection="1">
      <alignment horizontal="right" vertical="center"/>
    </xf>
    <xf numFmtId="0" fontId="2" fillId="3" borderId="9" xfId="4" applyFont="1" applyFill="1" applyBorder="1" applyAlignment="1">
      <alignment horizontal="center" vertical="center"/>
    </xf>
    <xf numFmtId="0" fontId="2" fillId="3" borderId="9" xfId="6" applyFont="1" applyFill="1" applyBorder="1" applyAlignment="1">
      <alignment horizontal="center" vertical="center"/>
    </xf>
    <xf numFmtId="0" fontId="2" fillId="4" borderId="10" xfId="5" applyFont="1" applyFill="1" applyBorder="1" applyAlignment="1">
      <alignment horizontal="center" vertical="center"/>
    </xf>
    <xf numFmtId="0" fontId="2" fillId="4" borderId="10" xfId="5" applyFont="1" applyFill="1" applyBorder="1" applyAlignment="1">
      <alignment horizontal="left" vertical="center"/>
    </xf>
    <xf numFmtId="0" fontId="2" fillId="4" borderId="9" xfId="5" applyFont="1" applyFill="1" applyBorder="1" applyAlignment="1">
      <alignment horizontal="center" vertical="center"/>
    </xf>
    <xf numFmtId="188" fontId="2" fillId="4" borderId="9" xfId="2" applyNumberFormat="1" applyFont="1" applyFill="1" applyBorder="1" applyAlignment="1" applyProtection="1">
      <alignment horizontal="center" vertical="center"/>
    </xf>
    <xf numFmtId="187" fontId="2" fillId="4" borderId="9" xfId="2" applyNumberFormat="1" applyFont="1" applyFill="1" applyBorder="1" applyAlignment="1" applyProtection="1">
      <alignment horizontal="right" vertical="center"/>
    </xf>
    <xf numFmtId="0" fontId="2" fillId="4" borderId="9" xfId="4" applyFont="1" applyFill="1" applyBorder="1" applyAlignment="1">
      <alignment horizontal="center" vertical="center"/>
    </xf>
    <xf numFmtId="0" fontId="2" fillId="5" borderId="9" xfId="6" applyFont="1" applyFill="1" applyBorder="1" applyAlignment="1">
      <alignment horizontal="center" vertical="center"/>
    </xf>
    <xf numFmtId="0" fontId="2" fillId="0" borderId="11" xfId="5" applyFont="1" applyBorder="1" applyAlignment="1">
      <alignment horizontal="center" vertical="center"/>
    </xf>
    <xf numFmtId="0" fontId="2" fillId="0" borderId="10" xfId="4" applyFont="1" applyBorder="1" applyAlignment="1">
      <alignment vertical="center"/>
    </xf>
    <xf numFmtId="0" fontId="2" fillId="0" borderId="10" xfId="5" applyFont="1" applyBorder="1" applyAlignment="1">
      <alignment vertical="center"/>
    </xf>
    <xf numFmtId="0" fontId="2" fillId="0" borderId="10" xfId="5" applyFont="1" applyBorder="1" applyAlignment="1">
      <alignment horizontal="left" vertical="center"/>
    </xf>
    <xf numFmtId="188" fontId="2" fillId="0" borderId="10" xfId="5" applyNumberFormat="1" applyFont="1" applyBorder="1" applyAlignment="1">
      <alignment horizontal="center" vertical="center"/>
    </xf>
    <xf numFmtId="187" fontId="7" fillId="6" borderId="10" xfId="5" applyNumberFormat="1" applyFont="1" applyFill="1" applyBorder="1" applyAlignment="1">
      <alignment horizontal="right" vertical="center"/>
    </xf>
    <xf numFmtId="187" fontId="7" fillId="0" borderId="10" xfId="5" applyNumberFormat="1" applyFont="1" applyBorder="1" applyAlignment="1">
      <alignment horizontal="right" vertical="center"/>
    </xf>
    <xf numFmtId="187" fontId="7" fillId="0" borderId="10" xfId="5" applyNumberFormat="1" applyFont="1" applyBorder="1" applyAlignment="1">
      <alignment horizontal="left" vertical="center"/>
    </xf>
    <xf numFmtId="187" fontId="2" fillId="6" borderId="10" xfId="5" applyNumberFormat="1" applyFont="1" applyFill="1" applyBorder="1" applyAlignment="1">
      <alignment horizontal="right" vertical="center"/>
    </xf>
    <xf numFmtId="187" fontId="2" fillId="0" borderId="10" xfId="5" applyNumberFormat="1" applyFont="1" applyBorder="1" applyAlignment="1">
      <alignment horizontal="right" vertical="center"/>
    </xf>
    <xf numFmtId="0" fontId="2" fillId="0" borderId="10" xfId="4" applyFont="1" applyBorder="1" applyAlignment="1">
      <alignment horizontal="left" vertical="center"/>
    </xf>
    <xf numFmtId="189" fontId="2" fillId="0" borderId="10" xfId="4" applyNumberFormat="1" applyFont="1" applyBorder="1" applyAlignment="1">
      <alignment vertical="center"/>
    </xf>
    <xf numFmtId="187" fontId="2" fillId="6" borderId="9" xfId="2" applyNumberFormat="1" applyFont="1" applyFill="1" applyBorder="1" applyAlignment="1" applyProtection="1">
      <alignment horizontal="right" vertical="center"/>
    </xf>
    <xf numFmtId="0" fontId="7" fillId="0" borderId="10" xfId="5" applyFont="1" applyBorder="1" applyAlignment="1">
      <alignment vertical="center"/>
    </xf>
    <xf numFmtId="0" fontId="2" fillId="0" borderId="12" xfId="4" applyFont="1" applyBorder="1" applyAlignment="1">
      <alignment vertical="center"/>
    </xf>
    <xf numFmtId="187" fontId="2" fillId="0" borderId="10" xfId="5" applyNumberFormat="1" applyFont="1" applyBorder="1" applyAlignment="1">
      <alignment horizontal="left" vertical="center"/>
    </xf>
  </cellXfs>
  <cellStyles count="8">
    <cellStyle name="Comma" xfId="1" builtinId="3"/>
    <cellStyle name="Comma 2" xfId="3" xr:uid="{9F0079D4-72CF-49F6-94AB-BFDB5876C1EE}"/>
    <cellStyle name="Hyperlink" xfId="2" builtinId="8"/>
    <cellStyle name="Normal" xfId="0" builtinId="0"/>
    <cellStyle name="Normal 2" xfId="4" xr:uid="{AB220143-383B-4176-A838-388109553854}"/>
    <cellStyle name="Normal 2 2" xfId="7" xr:uid="{3A0AC377-09DF-4B94-A269-B59FB12A1B13}"/>
    <cellStyle name="Normal 3 2" xfId="5" xr:uid="{84E97AC9-D7D3-4047-9BD8-1040135583F8}"/>
    <cellStyle name="ปกติ 2" xfId="6" xr:uid="{537FC4EE-99DF-4347-8C4B-71EAA43D0F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2\Marketng%20Management\Sales%20Mgt\01%20Main%20&#3627;&#3621;&#3633;&#3585;\Marketing%20Manage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2\Management%20Meeting\Marketng%20Management\Sales%20Mgt\Bid%20Result\Bid%20Result%2059\Bid%20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 (2)"/>
      <sheetName val="MAIN"/>
      <sheetName val="MAIN(1) "/>
      <sheetName val="Product"/>
      <sheetName val="Activity"/>
      <sheetName val="BP"/>
      <sheetName val="สรุปยอดขาย 56-58   "/>
      <sheetName val="สรุปยอดขาย 56-58"/>
      <sheetName val="สรุปยอดขาย 56-58 "/>
      <sheetName val="สรุปยอดขาย 56-59"/>
      <sheetName val="MAIN "/>
      <sheetName val="เงื่อนไข Inc.-เก่า"/>
      <sheetName val="เทียบเป้า-คาดจบ-ขายจริง"/>
      <sheetName val="เงื่อนไข Inc."/>
      <sheetName val="ยอดรายวัน 67"/>
      <sheetName val="สรุปยอดขาย 66-67"/>
      <sheetName val="ยอดรายวัน 66"/>
      <sheetName val="สรุปยอดขาย 56-65"/>
      <sheetName val="ยอดรายวัน65"/>
      <sheetName val="ค่าตำแหน่ง"/>
      <sheetName val="สรุปยอดขายตามสินค้า 62"/>
      <sheetName val="Catalog (New)"/>
      <sheetName val="Artwork"/>
      <sheetName val="Catalog"/>
      <sheetName val="MAIN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H4">
            <v>820756126.85000002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"/>
      <sheetName val="ไม่เคลื่อนไหว"/>
      <sheetName val="Main"/>
      <sheetName val="Sheet2"/>
      <sheetName val="Project ปี 69"/>
      <sheetName val="Project ปี 68"/>
      <sheetName val="Project ปี67"/>
      <sheetName val="Project ปี66"/>
      <sheetName val="Project ปี65"/>
      <sheetName val="BP MA จากงาน Project"/>
      <sheetName val="Bay"/>
      <sheetName val="BBL"/>
      <sheetName val="รายการเดียว"/>
      <sheetName val="หลายรายการ"/>
      <sheetName val="วิธีคำนวณราคาขายจาก%กำไรขั้นต้น"/>
      <sheetName val="ต้นแบ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3619;&#3634;&#3588;&#3634;/@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7E3-9007-4BBE-B5C8-C1FE11AB1EEE}">
  <sheetPr>
    <outlinePr summaryBelow="0"/>
  </sheetPr>
  <dimension ref="A1:R12"/>
  <sheetViews>
    <sheetView tabSelected="1" workbookViewId="0">
      <selection activeCell="H11" sqref="H11"/>
    </sheetView>
  </sheetViews>
  <sheetFormatPr defaultColWidth="8.08203125" defaultRowHeight="14" outlineLevelRow="2" x14ac:dyDescent="0.3"/>
  <cols>
    <col min="1" max="1" width="5.08203125" customWidth="1"/>
    <col min="2" max="2" width="20.08203125" customWidth="1"/>
    <col min="3" max="3" width="6.08203125" bestFit="1" customWidth="1"/>
    <col min="4" max="4" width="12.08203125" customWidth="1"/>
    <col min="5" max="5" width="5.08203125" customWidth="1"/>
    <col min="6" max="6" width="7" bestFit="1" customWidth="1"/>
    <col min="7" max="7" width="10" bestFit="1" customWidth="1"/>
    <col min="8" max="8" width="7.08203125" bestFit="1" customWidth="1"/>
    <col min="9" max="9" width="6" customWidth="1"/>
    <col min="10" max="10" width="9" customWidth="1"/>
    <col min="11" max="11" width="7.08203125" bestFit="1" customWidth="1"/>
    <col min="12" max="12" width="10.08203125" bestFit="1" customWidth="1"/>
    <col min="13" max="13" width="8" customWidth="1"/>
    <col min="14" max="14" width="10" bestFit="1" customWidth="1"/>
    <col min="15" max="15" width="5.08203125" customWidth="1"/>
    <col min="16" max="16" width="3.08203125" bestFit="1" customWidth="1"/>
  </cols>
  <sheetData>
    <row r="1" spans="1:18" s="2" customFormat="1" ht="18" customHeight="1" x14ac:dyDescent="0.3">
      <c r="A1" s="1" t="s">
        <v>0</v>
      </c>
      <c r="D1" s="3"/>
      <c r="E1" s="3"/>
      <c r="F1" s="4" t="s">
        <v>1</v>
      </c>
      <c r="G1" s="5"/>
      <c r="H1" s="6" t="s">
        <v>2</v>
      </c>
      <c r="I1" s="7"/>
      <c r="J1" s="8"/>
      <c r="K1" s="6" t="s">
        <v>3</v>
      </c>
      <c r="L1" s="8"/>
      <c r="M1" s="9" t="s">
        <v>4</v>
      </c>
      <c r="N1" s="10"/>
      <c r="O1" s="11"/>
      <c r="P1" s="12" t="s">
        <v>5</v>
      </c>
      <c r="Q1" s="12"/>
      <c r="R1" s="12"/>
    </row>
    <row r="2" spans="1:18" s="2" customFormat="1" ht="18" customHeight="1" x14ac:dyDescent="0.3">
      <c r="A2" s="13" t="s">
        <v>6</v>
      </c>
      <c r="B2" s="13" t="s">
        <v>7</v>
      </c>
      <c r="C2" s="14" t="s">
        <v>8</v>
      </c>
      <c r="D2" s="14" t="s">
        <v>9</v>
      </c>
      <c r="E2" s="15" t="s">
        <v>10</v>
      </c>
      <c r="F2" s="16" t="s">
        <v>11</v>
      </c>
      <c r="G2" s="17" t="s">
        <v>12</v>
      </c>
      <c r="H2" s="18" t="s">
        <v>7</v>
      </c>
      <c r="I2" s="19" t="s">
        <v>11</v>
      </c>
      <c r="J2" s="19" t="s">
        <v>12</v>
      </c>
      <c r="K2" s="19" t="s">
        <v>11</v>
      </c>
      <c r="L2" s="19" t="s">
        <v>12</v>
      </c>
      <c r="M2" s="14" t="s">
        <v>11</v>
      </c>
      <c r="N2" s="20" t="s">
        <v>12</v>
      </c>
      <c r="O2" s="21" t="s">
        <v>13</v>
      </c>
      <c r="P2" s="22" t="s">
        <v>14</v>
      </c>
      <c r="Q2" s="23"/>
      <c r="R2" s="24"/>
    </row>
    <row r="3" spans="1:18" s="2" customFormat="1" ht="18" customHeight="1" x14ac:dyDescent="0.3">
      <c r="A3" s="13"/>
      <c r="B3" s="13"/>
      <c r="C3" s="14" t="s">
        <v>15</v>
      </c>
      <c r="D3" s="14" t="s">
        <v>16</v>
      </c>
      <c r="E3" s="25">
        <f>E4</f>
        <v>600</v>
      </c>
      <c r="F3" s="26">
        <f>G3/E3</f>
        <v>7422.3790000000008</v>
      </c>
      <c r="G3" s="26">
        <f>G4</f>
        <v>4453427.4000000004</v>
      </c>
      <c r="H3" s="27" t="s">
        <v>7</v>
      </c>
      <c r="I3" s="26">
        <f>J3/E3</f>
        <v>283.33333333333331</v>
      </c>
      <c r="J3" s="26">
        <f>J4</f>
        <v>170000</v>
      </c>
      <c r="K3" s="26">
        <f>L3/E3</f>
        <v>16750</v>
      </c>
      <c r="L3" s="26">
        <f>L4</f>
        <v>10050000</v>
      </c>
      <c r="M3" s="26">
        <f>K3-I3-F3</f>
        <v>9044.2876666666671</v>
      </c>
      <c r="N3" s="28">
        <f>L3-J3-G3</f>
        <v>5426572.5999999996</v>
      </c>
      <c r="O3" s="29">
        <f>N3/L3*100</f>
        <v>53.995747263681594</v>
      </c>
      <c r="P3" s="30" t="s">
        <v>17</v>
      </c>
      <c r="Q3" s="31" t="s">
        <v>11</v>
      </c>
      <c r="R3" s="31" t="s">
        <v>12</v>
      </c>
    </row>
    <row r="4" spans="1:18" s="2" customFormat="1" ht="18" customHeight="1" x14ac:dyDescent="0.3">
      <c r="A4" s="32" t="s">
        <v>18</v>
      </c>
      <c r="B4" s="33"/>
      <c r="C4" s="34" t="s">
        <v>19</v>
      </c>
      <c r="D4" s="34" t="s">
        <v>20</v>
      </c>
      <c r="E4" s="35">
        <f>E5+E9</f>
        <v>600</v>
      </c>
      <c r="F4" s="36">
        <f>G4/E4</f>
        <v>7422.3790000000008</v>
      </c>
      <c r="G4" s="36">
        <f>G5+G9</f>
        <v>4453427.4000000004</v>
      </c>
      <c r="H4" s="36"/>
      <c r="I4" s="36">
        <f>J4/E4</f>
        <v>283.33333333333331</v>
      </c>
      <c r="J4" s="36">
        <f>J5+J9</f>
        <v>170000</v>
      </c>
      <c r="K4" s="36">
        <f>L4/E4</f>
        <v>16750</v>
      </c>
      <c r="L4" s="36">
        <f>L5+L9</f>
        <v>10050000</v>
      </c>
      <c r="M4" s="36">
        <f>N4/E4</f>
        <v>9044.2876666666652</v>
      </c>
      <c r="N4" s="36">
        <f>L4-G4-J4</f>
        <v>5426572.5999999996</v>
      </c>
      <c r="O4" s="36">
        <f>N4/L4*100</f>
        <v>53.995747263681594</v>
      </c>
      <c r="P4" s="37"/>
      <c r="Q4" s="37"/>
      <c r="R4" s="38"/>
    </row>
    <row r="5" spans="1:18" s="2" customFormat="1" ht="18" customHeight="1" outlineLevel="1" x14ac:dyDescent="0.3">
      <c r="A5" s="39">
        <v>1</v>
      </c>
      <c r="B5" s="40" t="s">
        <v>21</v>
      </c>
      <c r="C5" s="41">
        <f>COUNTA(C6:C8)</f>
        <v>2</v>
      </c>
      <c r="D5" s="41">
        <f>COUNTA(D6:D8)</f>
        <v>2</v>
      </c>
      <c r="E5" s="42">
        <v>300</v>
      </c>
      <c r="F5" s="43">
        <f>SUM(F6:F8)</f>
        <v>7422.3789999999999</v>
      </c>
      <c r="G5" s="43">
        <f>SUM(G6:G8)</f>
        <v>2226713.7000000002</v>
      </c>
      <c r="H5" s="41">
        <f>COUNTA(H6:H8)</f>
        <v>1</v>
      </c>
      <c r="I5" s="43">
        <f>SUM(I6:I8)</f>
        <v>33.333333333333336</v>
      </c>
      <c r="J5" s="43">
        <f>SUM(J6:J8)</f>
        <v>10000</v>
      </c>
      <c r="K5" s="43">
        <f>SUM(K6:K8)</f>
        <v>16500</v>
      </c>
      <c r="L5" s="43">
        <f>SUM(L6:L8)</f>
        <v>4950000</v>
      </c>
      <c r="M5" s="43">
        <f>N5/E5</f>
        <v>9044.2876666666652</v>
      </c>
      <c r="N5" s="43">
        <f>L5-G5-J5</f>
        <v>2713286.3</v>
      </c>
      <c r="O5" s="43">
        <f>N5/L5*100</f>
        <v>54.813864646464637</v>
      </c>
      <c r="P5" s="44"/>
      <c r="Q5" s="44"/>
      <c r="R5" s="45"/>
    </row>
    <row r="6" spans="1:18" s="2" customFormat="1" ht="18" customHeight="1" outlineLevel="2" x14ac:dyDescent="0.3">
      <c r="A6" s="46"/>
      <c r="B6" s="47" t="s">
        <v>22</v>
      </c>
      <c r="C6" s="48" t="s">
        <v>23</v>
      </c>
      <c r="D6" s="49" t="s">
        <v>24</v>
      </c>
      <c r="E6" s="50">
        <v>300</v>
      </c>
      <c r="F6" s="51">
        <v>4037.7</v>
      </c>
      <c r="G6" s="52">
        <f>F6*E6</f>
        <v>1211310</v>
      </c>
      <c r="H6" s="53" t="s">
        <v>25</v>
      </c>
      <c r="I6" s="52">
        <f>J6/E5</f>
        <v>33.333333333333336</v>
      </c>
      <c r="J6" s="54">
        <v>10000</v>
      </c>
      <c r="K6" s="54">
        <v>16500</v>
      </c>
      <c r="L6" s="55">
        <f>E6*K6</f>
        <v>4950000</v>
      </c>
      <c r="M6" s="55">
        <f>N6/E5</f>
        <v>9044.2876666666652</v>
      </c>
      <c r="N6" s="54">
        <f>L6-G5-J5</f>
        <v>2713286.3</v>
      </c>
      <c r="O6" s="55">
        <f>N6/L6*100</f>
        <v>54.813864646464637</v>
      </c>
      <c r="P6" s="56"/>
      <c r="Q6" s="57"/>
      <c r="R6" s="56"/>
    </row>
    <row r="7" spans="1:18" s="2" customFormat="1" ht="18" customHeight="1" outlineLevel="2" x14ac:dyDescent="0.3">
      <c r="A7" s="46"/>
      <c r="B7" s="49" t="s">
        <v>26</v>
      </c>
      <c r="C7" s="48" t="s">
        <v>27</v>
      </c>
      <c r="D7" s="49" t="s">
        <v>28</v>
      </c>
      <c r="E7" s="50">
        <v>300</v>
      </c>
      <c r="F7" s="58">
        <f>294.893*3</f>
        <v>884.67899999999986</v>
      </c>
      <c r="G7" s="52">
        <f>F7*E7</f>
        <v>265403.69999999995</v>
      </c>
      <c r="H7" s="47"/>
      <c r="I7" s="52"/>
      <c r="J7" s="52"/>
      <c r="K7" s="55"/>
      <c r="L7" s="55"/>
      <c r="M7" s="55"/>
      <c r="N7" s="55"/>
      <c r="O7" s="55"/>
      <c r="P7" s="56"/>
      <c r="Q7" s="57"/>
      <c r="R7" s="56"/>
    </row>
    <row r="8" spans="1:18" s="2" customFormat="1" ht="18" customHeight="1" outlineLevel="2" x14ac:dyDescent="0.3">
      <c r="A8" s="46"/>
      <c r="B8" s="59" t="s">
        <v>29</v>
      </c>
      <c r="C8" s="48"/>
      <c r="D8" s="49"/>
      <c r="E8" s="50">
        <v>300</v>
      </c>
      <c r="F8" s="51">
        <v>2500</v>
      </c>
      <c r="G8" s="52">
        <f>F8*E8</f>
        <v>750000</v>
      </c>
      <c r="H8" s="47"/>
      <c r="I8" s="52"/>
      <c r="J8" s="52"/>
      <c r="K8" s="55"/>
      <c r="L8" s="55"/>
      <c r="M8" s="55"/>
      <c r="N8" s="55"/>
      <c r="O8" s="55"/>
      <c r="P8" s="56"/>
      <c r="Q8" s="57"/>
      <c r="R8" s="56"/>
    </row>
    <row r="9" spans="1:18" s="2" customFormat="1" ht="18" customHeight="1" outlineLevel="1" x14ac:dyDescent="0.3">
      <c r="A9" s="39">
        <v>2</v>
      </c>
      <c r="B9" s="40" t="s">
        <v>21</v>
      </c>
      <c r="C9" s="41">
        <f>COUNTA(C10:C12)</f>
        <v>2</v>
      </c>
      <c r="D9" s="41">
        <f>COUNTA(D10:D12)</f>
        <v>2</v>
      </c>
      <c r="E9" s="42">
        <f>E10</f>
        <v>300</v>
      </c>
      <c r="F9" s="43">
        <f>SUM(F10:F12)</f>
        <v>7422.3789999999999</v>
      </c>
      <c r="G9" s="43">
        <f>SUM(G10:G12)</f>
        <v>2226713.7000000002</v>
      </c>
      <c r="H9" s="41">
        <f>COUNTA(H10:H12)</f>
        <v>2</v>
      </c>
      <c r="I9" s="43">
        <f>SUM(I10:I12)</f>
        <v>533.33333333333337</v>
      </c>
      <c r="J9" s="43">
        <f>SUM(J10:J12)</f>
        <v>160000</v>
      </c>
      <c r="K9" s="43">
        <f>K10</f>
        <v>17000</v>
      </c>
      <c r="L9" s="43">
        <f>K9*E9</f>
        <v>5100000</v>
      </c>
      <c r="M9" s="43">
        <f>N9/E9</f>
        <v>9044.2876666666652</v>
      </c>
      <c r="N9" s="43">
        <f>L9-J9-G9</f>
        <v>2713286.3</v>
      </c>
      <c r="O9" s="43">
        <f>N9/L9*100</f>
        <v>53.201692156862748</v>
      </c>
      <c r="P9" s="44"/>
      <c r="Q9" s="44"/>
      <c r="R9" s="45"/>
    </row>
    <row r="10" spans="1:18" s="2" customFormat="1" ht="18" customHeight="1" outlineLevel="2" x14ac:dyDescent="0.3">
      <c r="A10" s="46"/>
      <c r="B10" s="47" t="s">
        <v>22</v>
      </c>
      <c r="C10" s="48" t="s">
        <v>23</v>
      </c>
      <c r="D10" s="49" t="s">
        <v>24</v>
      </c>
      <c r="E10" s="50">
        <v>300</v>
      </c>
      <c r="F10" s="51">
        <v>4037.7</v>
      </c>
      <c r="G10" s="52">
        <f>F10*E10</f>
        <v>1211310</v>
      </c>
      <c r="H10" s="53" t="s">
        <v>25</v>
      </c>
      <c r="I10" s="52">
        <f>J10/E9</f>
        <v>33.333333333333336</v>
      </c>
      <c r="J10" s="54">
        <v>10000</v>
      </c>
      <c r="K10" s="54">
        <v>17000</v>
      </c>
      <c r="L10" s="55">
        <f>E10*K10</f>
        <v>5100000</v>
      </c>
      <c r="M10" s="55">
        <f>N10/E10</f>
        <v>9544.2876666666652</v>
      </c>
      <c r="N10" s="54">
        <f>L10-G9-J10</f>
        <v>2863286.3</v>
      </c>
      <c r="O10" s="55">
        <f>N10/L10*100</f>
        <v>56.14286862745098</v>
      </c>
      <c r="P10" s="56"/>
      <c r="Q10" s="57"/>
      <c r="R10" s="56"/>
    </row>
    <row r="11" spans="1:18" s="2" customFormat="1" ht="18" customHeight="1" outlineLevel="2" x14ac:dyDescent="0.3">
      <c r="A11" s="46"/>
      <c r="B11" s="49" t="s">
        <v>26</v>
      </c>
      <c r="C11" s="48" t="s">
        <v>27</v>
      </c>
      <c r="D11" s="49" t="s">
        <v>28</v>
      </c>
      <c r="E11" s="50">
        <v>300</v>
      </c>
      <c r="F11" s="58">
        <f>294.893*3</f>
        <v>884.67899999999986</v>
      </c>
      <c r="G11" s="52">
        <f>F11*E11</f>
        <v>265403.69999999995</v>
      </c>
      <c r="H11" s="47" t="s">
        <v>30</v>
      </c>
      <c r="I11" s="52">
        <v>500</v>
      </c>
      <c r="J11" s="52">
        <f>I11*E9</f>
        <v>150000</v>
      </c>
      <c r="K11" s="55"/>
      <c r="L11" s="55"/>
      <c r="M11" s="55"/>
      <c r="N11" s="55"/>
      <c r="O11" s="55"/>
      <c r="P11" s="56"/>
      <c r="Q11" s="57"/>
      <c r="R11" s="56"/>
    </row>
    <row r="12" spans="1:18" s="2" customFormat="1" ht="18" customHeight="1" outlineLevel="2" x14ac:dyDescent="0.3">
      <c r="A12" s="46"/>
      <c r="B12" s="59" t="s">
        <v>29</v>
      </c>
      <c r="C12" s="48"/>
      <c r="D12" s="49"/>
      <c r="E12" s="50">
        <v>300</v>
      </c>
      <c r="F12" s="51">
        <v>2500</v>
      </c>
      <c r="G12" s="52">
        <f>F12*E12</f>
        <v>750000</v>
      </c>
      <c r="H12" s="47"/>
      <c r="I12" s="52"/>
      <c r="J12" s="52"/>
      <c r="K12" s="60"/>
      <c r="L12" s="55"/>
      <c r="M12" s="61" t="s">
        <v>31</v>
      </c>
      <c r="N12" s="55"/>
      <c r="O12" s="55"/>
      <c r="P12" s="56"/>
      <c r="Q12" s="57"/>
      <c r="R12" s="56"/>
    </row>
  </sheetData>
  <mergeCells count="9">
    <mergeCell ref="A4:B4"/>
    <mergeCell ref="F1:G1"/>
    <mergeCell ref="H1:J1"/>
    <mergeCell ref="K1:L1"/>
    <mergeCell ref="M1:O1"/>
    <mergeCell ref="P1:R1"/>
    <mergeCell ref="A2:A3"/>
    <mergeCell ref="B2:B3"/>
    <mergeCell ref="P2:R2"/>
  </mergeCells>
  <hyperlinks>
    <hyperlink ref="F2" r:id="rId1" display="ราคา/@" xr:uid="{1B8B1236-4EC9-4583-A313-0E75145046C3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หลายรายการ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IT_Paytry</dc:creator>
  <cp:lastModifiedBy>IT_Paytry</cp:lastModifiedBy>
  <dcterms:created xsi:type="dcterms:W3CDTF">2026-07-21T06:53:59Z</dcterms:created>
  <dcterms:modified xsi:type="dcterms:W3CDTF">2026-07-21T06:54:40Z</dcterms:modified>
</cp:coreProperties>
</file>